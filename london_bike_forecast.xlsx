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work\suds2503\"/>
    </mc:Choice>
  </mc:AlternateContent>
  <xr:revisionPtr revIDLastSave="0" documentId="13_ncr:1_{D3A016FE-3268-4543-8235-62948A3CC88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oreca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2" l="1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8" i="2" l="1"/>
</calcChain>
</file>

<file path=xl/sharedStrings.xml><?xml version="1.0" encoding="utf-8"?>
<sst xmlns="http://schemas.openxmlformats.org/spreadsheetml/2006/main" count="30" uniqueCount="28">
  <si>
    <t>簡易予測（入力）</t>
  </si>
  <si>
    <t>モデル係数（線形近似）</t>
  </si>
  <si>
    <t>Hour効果</t>
  </si>
  <si>
    <t>時間別予測（入力条件に対する予測台数）</t>
  </si>
  <si>
    <t>気温 t1 (℃)</t>
  </si>
  <si>
    <t>Intercept</t>
  </si>
  <si>
    <t>hour</t>
  </si>
  <si>
    <t>coef</t>
  </si>
  <si>
    <t>予測cnt</t>
  </si>
  <si>
    <t>湿度 hum (%)</t>
  </si>
  <si>
    <t>t1</t>
  </si>
  <si>
    <t>風速 wind_speed</t>
  </si>
  <si>
    <t>hum</t>
  </si>
  <si>
    <t>is_weekend (0=平日,1=週末)</t>
  </si>
  <si>
    <t>wind_speed</t>
  </si>
  <si>
    <t>is_holiday (0/1)</t>
  </si>
  <si>
    <t>is_weekend</t>
  </si>
  <si>
    <t>season (0=冬,1=春,2=夏,3=秋)</t>
  </si>
  <si>
    <t>is_holiday</t>
  </si>
  <si>
    <t>モデル適合度 R²</t>
  </si>
  <si>
    <t>Season効果</t>
  </si>
  <si>
    <t>season</t>
  </si>
  <si>
    <t>合計(0–23h)</t>
  </si>
  <si>
    <t>春</t>
    <rPh sb="0" eb="1">
      <t>ハル</t>
    </rPh>
    <phoneticPr fontId="1"/>
  </si>
  <si>
    <t>夏</t>
    <rPh sb="0" eb="1">
      <t>ナツ</t>
    </rPh>
    <phoneticPr fontId="1"/>
  </si>
  <si>
    <t>冬</t>
    <rPh sb="0" eb="1">
      <t>フユ</t>
    </rPh>
    <phoneticPr fontId="1"/>
  </si>
  <si>
    <t>秋</t>
    <rPh sb="0" eb="1">
      <t>アキ</t>
    </rPh>
    <phoneticPr fontId="1"/>
  </si>
  <si>
    <t>B2:B7を変更するとL列が再計算されます</t>
    <rPh sb="6" eb="8">
      <t>ヘンコウ</t>
    </rPh>
    <rPh sb="12" eb="13">
      <t>レツ</t>
    </rPh>
    <rPh sb="14" eb="17">
      <t>サイケイサン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</si>
</sst>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tabSelected="1" workbookViewId="0">
      <selection activeCell="L3" sqref="L3"/>
    </sheetView>
  </sheetViews>
  <sheetFormatPr defaultRowHeight="13.5" x14ac:dyDescent="0.15"/>
  <cols>
    <col min="1" max="1" width="27.375" bestFit="1" customWidth="1"/>
    <col min="2" max="2" width="3.5" bestFit="1" customWidth="1"/>
    <col min="4" max="4" width="21.125" bestFit="1" customWidth="1"/>
    <col min="5" max="5" width="13.875" bestFit="1" customWidth="1"/>
  </cols>
  <sheetData>
    <row r="1" spans="1:12" x14ac:dyDescent="0.15">
      <c r="A1" t="s">
        <v>0</v>
      </c>
      <c r="D1" t="s">
        <v>1</v>
      </c>
      <c r="H1" t="s">
        <v>2</v>
      </c>
      <c r="K1" t="s">
        <v>3</v>
      </c>
    </row>
    <row r="2" spans="1:12" x14ac:dyDescent="0.15">
      <c r="A2" t="s">
        <v>4</v>
      </c>
      <c r="B2">
        <v>10</v>
      </c>
      <c r="D2" t="s">
        <v>5</v>
      </c>
      <c r="E2">
        <v>1320.8045739183881</v>
      </c>
      <c r="H2" t="s">
        <v>6</v>
      </c>
      <c r="I2" t="s">
        <v>7</v>
      </c>
      <c r="K2" t="s">
        <v>6</v>
      </c>
      <c r="L2" t="s">
        <v>8</v>
      </c>
    </row>
    <row r="3" spans="1:12" x14ac:dyDescent="0.15">
      <c r="A3" t="s">
        <v>9</v>
      </c>
      <c r="B3">
        <v>60</v>
      </c>
      <c r="D3" t="s">
        <v>10</v>
      </c>
      <c r="E3">
        <v>35.666172615969167</v>
      </c>
      <c r="H3">
        <v>0</v>
      </c>
      <c r="I3">
        <v>0</v>
      </c>
      <c r="K3">
        <v>0</v>
      </c>
      <c r="L3">
        <f>ROUND($E$2 + $E$3*B2 + $E$4*B3 + $E$5*B4 + $E$6*B5 + $E$7*B6 + VLOOKUP(K3, $H$3:$I$26, 2, FALSE) + VLOOKUP(B7, $D$13:$E$16, 2, FALSE), 0)</f>
        <v>613</v>
      </c>
    </row>
    <row r="4" spans="1:12" x14ac:dyDescent="0.15">
      <c r="A4" t="s">
        <v>11</v>
      </c>
      <c r="B4">
        <v>15</v>
      </c>
      <c r="D4" t="s">
        <v>12</v>
      </c>
      <c r="E4">
        <v>-15.90970502733445</v>
      </c>
      <c r="H4">
        <v>1</v>
      </c>
      <c r="I4">
        <v>-64.884282653286704</v>
      </c>
      <c r="K4">
        <v>1</v>
      </c>
      <c r="L4">
        <f>ROUND($E$2 + $E$3*B2 + $E$4*B3 + $E$5*B4 + $E$6*B5 + $E$7*B6 + VLOOKUP(K4, $H$3:$I$26, 2, FALSE) + VLOOKUP(B7, $D$13:$E$16, 2, FALSE), 0)</f>
        <v>548</v>
      </c>
    </row>
    <row r="5" spans="1:12" x14ac:dyDescent="0.15">
      <c r="A5" t="s">
        <v>13</v>
      </c>
      <c r="B5">
        <v>0</v>
      </c>
      <c r="D5" t="s">
        <v>14</v>
      </c>
      <c r="E5">
        <v>-9.967488801189992</v>
      </c>
      <c r="H5">
        <v>2</v>
      </c>
      <c r="I5">
        <v>-108.25945536050649</v>
      </c>
      <c r="K5">
        <v>2</v>
      </c>
      <c r="L5">
        <f>ROUND($E$2 + $E$3*B2 + $E$4*B3 + $E$5*B4 + $E$6*B5 + $E$7*B6 + VLOOKUP(K5, $H$3:$I$26, 2, FALSE) + VLOOKUP(B7, $D$13:$E$16, 2, FALSE), 0)</f>
        <v>505</v>
      </c>
    </row>
    <row r="6" spans="1:12" x14ac:dyDescent="0.15">
      <c r="A6" t="s">
        <v>15</v>
      </c>
      <c r="B6">
        <v>0</v>
      </c>
      <c r="D6" t="s">
        <v>16</v>
      </c>
      <c r="E6">
        <v>-225.051940204261</v>
      </c>
      <c r="H6">
        <v>3</v>
      </c>
      <c r="I6">
        <v>-132.987965062526</v>
      </c>
      <c r="K6">
        <v>3</v>
      </c>
      <c r="L6">
        <f>ROUND($E$2 + $E$3*B2 + $E$4*B3 + $E$5*B4 + $E$6*B5 + $E$7*B6 + VLOOKUP(K6, $H$3:$I$26, 2, FALSE) + VLOOKUP(B7, $D$13:$E$16, 2, FALSE), 0)</f>
        <v>480</v>
      </c>
    </row>
    <row r="7" spans="1:12" x14ac:dyDescent="0.15">
      <c r="A7" t="s">
        <v>17</v>
      </c>
      <c r="B7">
        <v>1</v>
      </c>
      <c r="D7" t="s">
        <v>18</v>
      </c>
      <c r="E7">
        <v>-313.70899019713983</v>
      </c>
      <c r="H7">
        <v>4</v>
      </c>
      <c r="I7">
        <v>-139.67772192465759</v>
      </c>
      <c r="K7">
        <v>4</v>
      </c>
      <c r="L7">
        <f>ROUND($E$2 + $E$3*B2 + $E$4*B3 + $E$5*B4 + $E$6*B5 + $E$7*B6 + VLOOKUP(K7, $H$3:$I$26, 2, FALSE) + VLOOKUP(B7, $D$13:$E$16, 2, FALSE), 0)</f>
        <v>474</v>
      </c>
    </row>
    <row r="8" spans="1:12" x14ac:dyDescent="0.15">
      <c r="H8">
        <v>5</v>
      </c>
      <c r="I8">
        <v>-92.032062232154388</v>
      </c>
      <c r="K8">
        <v>5</v>
      </c>
      <c r="L8">
        <f>ROUND($E$2 + $E$3*B2 + $E$4*B3 + $E$5*B4 + $E$6*B5 + $E$7*B6 + VLOOKUP(K8, $H$3:$I$26, 2, FALSE) + VLOOKUP(B7, $D$13:$E$16, 2, FALSE), 0)</f>
        <v>521</v>
      </c>
    </row>
    <row r="9" spans="1:12" x14ac:dyDescent="0.15">
      <c r="A9" t="s">
        <v>27</v>
      </c>
      <c r="D9" t="s">
        <v>19</v>
      </c>
      <c r="E9">
        <v>0.71057831273690319</v>
      </c>
      <c r="H9">
        <v>6</v>
      </c>
      <c r="I9">
        <v>257.51120100986509</v>
      </c>
      <c r="K9">
        <v>6</v>
      </c>
      <c r="L9">
        <f>ROUND($E$2 + $E$3*B2 + $E$4*B3 + $E$5*B4 + $E$6*B5 + $E$7*B6 + VLOOKUP(K9, $H$3:$I$26, 2, FALSE) + VLOOKUP(B7, $D$13:$E$16, 2, FALSE), 0)</f>
        <v>871</v>
      </c>
    </row>
    <row r="10" spans="1:12" x14ac:dyDescent="0.15">
      <c r="H10">
        <v>7</v>
      </c>
      <c r="I10">
        <v>1226.1618912692161</v>
      </c>
      <c r="K10">
        <v>7</v>
      </c>
      <c r="L10">
        <f>ROUND($E$2 + $E$3*B2 + $E$4*B3 + $E$5*B4 + $E$6*B5 + $E$7*B6 + VLOOKUP(K10, $H$3:$I$26, 2, FALSE) + VLOOKUP(B7, $D$13:$E$16, 2, FALSE), 0)</f>
        <v>1839</v>
      </c>
    </row>
    <row r="11" spans="1:12" x14ac:dyDescent="0.15">
      <c r="D11" t="s">
        <v>20</v>
      </c>
      <c r="H11">
        <v>8</v>
      </c>
      <c r="I11">
        <v>2584.6845625744891</v>
      </c>
      <c r="K11">
        <v>8</v>
      </c>
      <c r="L11">
        <f>ROUND($E$2 + $E$3*B2 + $E$4*B3 + $E$5*B4 + $E$6*B5 + $E$7*B6 + VLOOKUP(K11, $H$3:$I$26, 2, FALSE) + VLOOKUP(B7, $D$13:$E$16, 2, FALSE), 0)</f>
        <v>3198</v>
      </c>
    </row>
    <row r="12" spans="1:12" x14ac:dyDescent="0.15">
      <c r="D12" t="s">
        <v>21</v>
      </c>
      <c r="E12" t="s">
        <v>7</v>
      </c>
      <c r="H12">
        <v>9</v>
      </c>
      <c r="I12">
        <v>1282.4739345335399</v>
      </c>
      <c r="K12">
        <v>9</v>
      </c>
      <c r="L12">
        <f>ROUND($E$2 + $E$3*B2 + $E$4*B3 + $E$5*B4 + $E$6*B5 + $E$7*B6 + VLOOKUP(K12, $H$3:$I$26, 2, FALSE) + VLOOKUP(B7, $D$13:$E$16, 2, FALSE), 0)</f>
        <v>1896</v>
      </c>
    </row>
    <row r="13" spans="1:12" x14ac:dyDescent="0.15">
      <c r="D13">
        <v>0</v>
      </c>
      <c r="E13">
        <v>0</v>
      </c>
      <c r="F13" t="s">
        <v>23</v>
      </c>
      <c r="H13">
        <v>10</v>
      </c>
      <c r="I13">
        <v>613.21826436194056</v>
      </c>
      <c r="K13">
        <v>10</v>
      </c>
      <c r="L13">
        <f>ROUND($E$2 + $E$3*B2 + $E$4*B3 + $E$5*B4 + $E$6*B5 + $E$7*B6 + VLOOKUP(K13, $H$3:$I$26, 2, FALSE) + VLOOKUP(B7, $D$13:$E$16, 2, FALSE), 0)</f>
        <v>1226</v>
      </c>
    </row>
    <row r="14" spans="1:12" x14ac:dyDescent="0.15">
      <c r="D14">
        <v>1</v>
      </c>
      <c r="E14">
        <v>39.852809701601231</v>
      </c>
      <c r="F14" t="s">
        <v>24</v>
      </c>
      <c r="H14">
        <v>11</v>
      </c>
      <c r="I14">
        <v>633.25895755683894</v>
      </c>
      <c r="K14">
        <v>11</v>
      </c>
      <c r="L14">
        <f>ROUND($E$2 + $E$3*B2 + $E$4*B3 + $E$5*B4 + $E$6*B5 + $E$7*B6 + VLOOKUP(K14, $H$3:$I$26, 2, FALSE) + VLOOKUP(B7, $D$13:$E$16, 2, FALSE), 0)</f>
        <v>1246</v>
      </c>
    </row>
    <row r="15" spans="1:12" x14ac:dyDescent="0.15">
      <c r="D15">
        <v>2</v>
      </c>
      <c r="E15">
        <v>73.303292865422435</v>
      </c>
      <c r="F15" t="s">
        <v>26</v>
      </c>
      <c r="H15">
        <v>12</v>
      </c>
      <c r="I15">
        <v>860.41178924896008</v>
      </c>
      <c r="K15">
        <v>12</v>
      </c>
      <c r="L15">
        <f>ROUND($E$2 + $E$3*B2 + $E$4*B3 + $E$5*B4 + $E$6*B5 + $E$7*B6 + VLOOKUP(K15, $H$3:$I$26, 2, FALSE) + VLOOKUP(B7, $D$13:$E$16, 2, FALSE), 0)</f>
        <v>1474</v>
      </c>
    </row>
    <row r="16" spans="1:12" x14ac:dyDescent="0.15">
      <c r="D16">
        <v>3</v>
      </c>
      <c r="E16">
        <v>-23.718263505683382</v>
      </c>
      <c r="F16" t="s">
        <v>25</v>
      </c>
      <c r="H16">
        <v>13</v>
      </c>
      <c r="I16">
        <v>895.40731154729406</v>
      </c>
      <c r="K16">
        <v>13</v>
      </c>
      <c r="L16">
        <f>ROUND($E$2 + $E$3*B2 + $E$4*B3 + $E$5*B4 + $E$6*B5 + $E$7*B6 + VLOOKUP(K16, $H$3:$I$26, 2, FALSE) + VLOOKUP(B7, $D$13:$E$16, 2, FALSE), 0)</f>
        <v>1509</v>
      </c>
    </row>
    <row r="17" spans="8:12" x14ac:dyDescent="0.15">
      <c r="H17">
        <v>14</v>
      </c>
      <c r="I17">
        <v>840.65820500942539</v>
      </c>
      <c r="K17">
        <v>14</v>
      </c>
      <c r="L17">
        <f>ROUND($E$2 + $E$3*B2 + $E$4*B3 + $E$5*B4 + $E$6*B5 + $E$7*B6 + VLOOKUP(K17, $H$3:$I$26, 2, FALSE) + VLOOKUP(B7, $D$13:$E$16, 2, FALSE), 0)</f>
        <v>1454</v>
      </c>
    </row>
    <row r="18" spans="8:12" x14ac:dyDescent="0.15">
      <c r="H18">
        <v>15</v>
      </c>
      <c r="I18">
        <v>925.91939284453997</v>
      </c>
      <c r="K18">
        <v>15</v>
      </c>
      <c r="L18">
        <f>ROUND($E$2 + $E$3*B2 + $E$4*B3 + $E$5*B4 + $E$6*B5 + $E$7*B6 + VLOOKUP(K18, $H$3:$I$26, 2, FALSE) + VLOOKUP(B7, $D$13:$E$16, 2, FALSE), 0)</f>
        <v>1539</v>
      </c>
    </row>
    <row r="19" spans="8:12" x14ac:dyDescent="0.15">
      <c r="H19">
        <v>16</v>
      </c>
      <c r="I19">
        <v>1247.338622341005</v>
      </c>
      <c r="K19">
        <v>16</v>
      </c>
      <c r="L19">
        <f>ROUND($E$2 + $E$3*B2 + $E$4*B3 + $E$5*B4 + $E$6*B5 + $E$7*B6 + VLOOKUP(K19, $H$3:$I$26, 2, FALSE) + VLOOKUP(B7, $D$13:$E$16, 2, FALSE), 0)</f>
        <v>1861</v>
      </c>
    </row>
    <row r="20" spans="8:12" x14ac:dyDescent="0.15">
      <c r="H20">
        <v>17</v>
      </c>
      <c r="I20">
        <v>2240.0150251008531</v>
      </c>
      <c r="K20">
        <v>17</v>
      </c>
      <c r="L20">
        <f>ROUND($E$2 + $E$3*B2 + $E$4*B3 + $E$5*B4 + $E$6*B5 + $E$7*B6 + VLOOKUP(K20, $H$3:$I$26, 2, FALSE) + VLOOKUP(B7, $D$13:$E$16, 2, FALSE), 0)</f>
        <v>2853</v>
      </c>
    </row>
    <row r="21" spans="8:12" x14ac:dyDescent="0.15">
      <c r="H21">
        <v>18</v>
      </c>
      <c r="I21">
        <v>2078.7928853080939</v>
      </c>
      <c r="K21">
        <v>18</v>
      </c>
      <c r="L21">
        <f>ROUND($E$2 + $E$3*B2 + $E$4*B3 + $E$5*B4 + $E$6*B5 + $E$7*B6 + VLOOKUP(K21, $H$3:$I$26, 2, FALSE) + VLOOKUP(B7, $D$13:$E$16, 2, FALSE), 0)</f>
        <v>2692</v>
      </c>
    </row>
    <row r="22" spans="8:12" x14ac:dyDescent="0.15">
      <c r="H22">
        <v>19</v>
      </c>
      <c r="I22">
        <v>1151.651438392292</v>
      </c>
      <c r="K22">
        <v>19</v>
      </c>
      <c r="L22">
        <f>ROUND($E$2 + $E$3*B2 + $E$4*B3 + $E$5*B4 + $E$6*B5 + $E$7*B6 + VLOOKUP(K22, $H$3:$I$26, 2, FALSE) + VLOOKUP(B7, $D$13:$E$16, 2, FALSE), 0)</f>
        <v>1765</v>
      </c>
    </row>
    <row r="23" spans="8:12" x14ac:dyDescent="0.15">
      <c r="H23">
        <v>20</v>
      </c>
      <c r="I23">
        <v>613.95762455557542</v>
      </c>
      <c r="K23">
        <v>20</v>
      </c>
      <c r="L23">
        <f>ROUND($E$2 + $E$3*B2 + $E$4*B3 + $E$5*B4 + $E$6*B5 + $E$7*B6 + VLOOKUP(K23, $H$3:$I$26, 2, FALSE) + VLOOKUP(B7, $D$13:$E$16, 2, FALSE), 0)</f>
        <v>1227</v>
      </c>
    </row>
    <row r="24" spans="8:12" x14ac:dyDescent="0.15">
      <c r="H24">
        <v>21</v>
      </c>
      <c r="I24">
        <v>346.47700005590667</v>
      </c>
      <c r="K24">
        <v>21</v>
      </c>
      <c r="L24">
        <f>ROUND($E$2 + $E$3*B2 + $E$4*B3 + $E$5*B4 + $E$6*B5 + $E$7*B6 + VLOOKUP(K24, $H$3:$I$26, 2, FALSE) + VLOOKUP(B7, $D$13:$E$16, 2, FALSE), 0)</f>
        <v>960</v>
      </c>
    </row>
    <row r="25" spans="8:12" x14ac:dyDescent="0.15">
      <c r="H25">
        <v>22</v>
      </c>
      <c r="I25">
        <v>238.15565142956069</v>
      </c>
      <c r="K25">
        <v>22</v>
      </c>
      <c r="L25">
        <f>ROUND($E$2 + $E$3*B2 + $E$4*B3 + $E$5*B4 + $E$6*B5 + $E$7*B6 + VLOOKUP(K25, $H$3:$I$26, 2, FALSE) + VLOOKUP(B7, $D$13:$E$16, 2, FALSE), 0)</f>
        <v>851</v>
      </c>
    </row>
    <row r="26" spans="8:12" x14ac:dyDescent="0.15">
      <c r="H26">
        <v>23</v>
      </c>
      <c r="I26">
        <v>119.9049857861685</v>
      </c>
      <c r="K26">
        <v>23</v>
      </c>
      <c r="L26">
        <f>ROUND($E$2 + $E$3*B2 + $E$4*B3 + $E$5*B4 + $E$6*B5 + $E$7*B6 + VLOOKUP(K26, $H$3:$I$26, 2, FALSE) + VLOOKUP(B7, $D$13:$E$16, 2, FALSE), 0)</f>
        <v>733</v>
      </c>
    </row>
    <row r="28" spans="8:12" x14ac:dyDescent="0.15">
      <c r="K28" t="s">
        <v>22</v>
      </c>
      <c r="L28">
        <f>SUM(L3:L26)</f>
        <v>32335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HIRAMATSU Kaoru</cp:lastModifiedBy>
  <dcterms:created xsi:type="dcterms:W3CDTF">2026-02-27T23:55:49Z</dcterms:created>
  <dcterms:modified xsi:type="dcterms:W3CDTF">2026-02-28T03:56:04Z</dcterms:modified>
</cp:coreProperties>
</file>